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keyes/Documents/Work/TFFF/OBTN/obtn/data-raw/"/>
    </mc:Choice>
  </mc:AlternateContent>
  <xr:revisionPtr revIDLastSave="0" documentId="13_ncr:1_{1610439F-4145-0949-8A95-3AE28507263D}" xr6:coauthVersionLast="36" xr6:coauthVersionMax="41" xr10:uidLastSave="{00000000-0000-0000-0000-000000000000}"/>
  <bookViews>
    <workbookView xWindow="820" yWindow="460" windowWidth="27980" windowHeight="15840" xr2:uid="{5F991D0E-B3C9-4CD6-B420-A66EA232D774}"/>
  </bookViews>
  <sheets>
    <sheet name="Output" sheetId="2" r:id="rId1"/>
    <sheet name="raw data_p25" sheetId="1" r:id="rId2"/>
    <sheet name="raw data_p50" sheetId="4" r:id="rId3"/>
    <sheet name="raw data_p75" sheetId="5" r:id="rId4"/>
  </sheets>
  <definedNames>
    <definedName name="_xlnm._FilterDatabase" localSheetId="0" hidden="1">Output!$A$1:$D$1</definedName>
    <definedName name="_xlnm._FilterDatabase" localSheetId="1" hidden="1">'raw data_p25'!$A$1:$G$1</definedName>
    <definedName name="_xlnm._FilterDatabase" localSheetId="2" hidden="1">'raw data_p50'!$A$1:$E$1</definedName>
    <definedName name="_xlnm._FilterDatabase" localSheetId="3" hidden="1">'raw data_p75'!$A$1:$G$1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2" l="1"/>
  <c r="E2" i="4" l="1"/>
  <c r="E3" i="4"/>
  <c r="C39" i="2" l="1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D39" i="2" s="1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G12" i="1" l="1"/>
  <c r="G3" i="1"/>
  <c r="G4" i="1"/>
  <c r="G5" i="1"/>
  <c r="G6" i="1"/>
  <c r="G7" i="1"/>
  <c r="G8" i="1"/>
  <c r="G9" i="1"/>
  <c r="G10" i="1"/>
  <c r="G11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2" i="1"/>
</calcChain>
</file>

<file path=xl/sharedStrings.xml><?xml version="1.0" encoding="utf-8"?>
<sst xmlns="http://schemas.openxmlformats.org/spreadsheetml/2006/main" count="282" uniqueCount="88">
  <si>
    <t>cty41001</t>
  </si>
  <si>
    <t>Baker County, OR</t>
  </si>
  <si>
    <t>cty41003</t>
  </si>
  <si>
    <t>Benton County, OR</t>
  </si>
  <si>
    <t>cty41005</t>
  </si>
  <si>
    <t>Clackamas County, OR</t>
  </si>
  <si>
    <t>cty41007</t>
  </si>
  <si>
    <t>Clatsop County, OR</t>
  </si>
  <si>
    <t>cty41009</t>
  </si>
  <si>
    <t>Columbia County, OR</t>
  </si>
  <si>
    <t>cty41011</t>
  </si>
  <si>
    <t>Coos County, OR</t>
  </si>
  <si>
    <t>cty41013</t>
  </si>
  <si>
    <t>Crook County, OR</t>
  </si>
  <si>
    <t>cty41015</t>
  </si>
  <si>
    <t>Curry County, OR</t>
  </si>
  <si>
    <t>cty41017</t>
  </si>
  <si>
    <t>Deschutes County, OR</t>
  </si>
  <si>
    <t>cty41019</t>
  </si>
  <si>
    <t>Douglas County, OR</t>
  </si>
  <si>
    <t>cty41021</t>
  </si>
  <si>
    <t>Gilliam County, OR</t>
  </si>
  <si>
    <t>cty41023</t>
  </si>
  <si>
    <t>Grant County, OR</t>
  </si>
  <si>
    <t>cty41025</t>
  </si>
  <si>
    <t>Harney County, OR</t>
  </si>
  <si>
    <t>cty41027</t>
  </si>
  <si>
    <t>Hood River County, OR</t>
  </si>
  <si>
    <t>cty41029</t>
  </si>
  <si>
    <t>Jackson County, OR</t>
  </si>
  <si>
    <t>cty41031</t>
  </si>
  <si>
    <t>Jefferson County, OR</t>
  </si>
  <si>
    <t>cty41033</t>
  </si>
  <si>
    <t>Josephine County, OR</t>
  </si>
  <si>
    <t>cty41035</t>
  </si>
  <si>
    <t>Klamath County, OR</t>
  </si>
  <si>
    <t>cty41037</t>
  </si>
  <si>
    <t>Lake County, OR</t>
  </si>
  <si>
    <t>cty41039</t>
  </si>
  <si>
    <t>Lane County, OR</t>
  </si>
  <si>
    <t>cty41041</t>
  </si>
  <si>
    <t>Lincoln County, OR</t>
  </si>
  <si>
    <t>cty41043</t>
  </si>
  <si>
    <t>Linn County, OR</t>
  </si>
  <si>
    <t>cty41045</t>
  </si>
  <si>
    <t>Malheur County, OR</t>
  </si>
  <si>
    <t>cty41047</t>
  </si>
  <si>
    <t>Marion County, OR</t>
  </si>
  <si>
    <t>cty41049</t>
  </si>
  <si>
    <t>Morrow County, OR</t>
  </si>
  <si>
    <t>cty41051</t>
  </si>
  <si>
    <t>Multnomah County, OR</t>
  </si>
  <si>
    <t>cty41053</t>
  </si>
  <si>
    <t>Polk County, OR</t>
  </si>
  <si>
    <t>cty41055</t>
  </si>
  <si>
    <t>Sherman County, OR</t>
  </si>
  <si>
    <t>cty41057</t>
  </si>
  <si>
    <t>Tillamook County, OR</t>
  </si>
  <si>
    <t>cty41059</t>
  </si>
  <si>
    <t>Umatilla County, OR</t>
  </si>
  <si>
    <t>cty41061</t>
  </si>
  <si>
    <t>Union County, OR</t>
  </si>
  <si>
    <t>cty41063</t>
  </si>
  <si>
    <t>Wallowa County, OR</t>
  </si>
  <si>
    <t>cty41065</t>
  </si>
  <si>
    <t>Wasco County, OR</t>
  </si>
  <si>
    <t>cty41067</t>
  </si>
  <si>
    <t>Washington County, OR</t>
  </si>
  <si>
    <t>cty41069</t>
  </si>
  <si>
    <t>Wheeler County, OR</t>
  </si>
  <si>
    <t>cty41071</t>
  </si>
  <si>
    <t>Yamhill County, OR</t>
  </si>
  <si>
    <t>Name</t>
  </si>
  <si>
    <t>County FIPS Code</t>
  </si>
  <si>
    <t>Estimated Sample Size ('78-'83)</t>
  </si>
  <si>
    <t>Estimated Sample Size ('84-'89)</t>
  </si>
  <si>
    <t>* Probability of reaching the top quintile of the national household income
distribution (among children born in the same year) in 2014-15, averaging across birth years 1978-1989</t>
  </si>
  <si>
    <t>Upward Mobility: Percent of People from Low-Income Families (Bottom 25%) who Grow up to be High Income (Top 20%)*</t>
  </si>
  <si>
    <t>National Average</t>
  </si>
  <si>
    <t>Counties with smaller sample sizes where estimates are less precise</t>
  </si>
  <si>
    <t>Oregon Average</t>
  </si>
  <si>
    <t>Upward Mobility: Percent of People from Middle-Income Families (50th Percentile) who Grow up to be High Income (Top 20%)*</t>
  </si>
  <si>
    <t>Upward Mobility: Percent of People from Higher-Income Families (75th Percentile) who Grow up to be High Income (Top 20%)*</t>
  </si>
  <si>
    <t>Upward Mobility: Percent of People from Low-Income Families (25th Percentile) who Grow up to be High Income (Top 20%)*</t>
  </si>
  <si>
    <t>Upward Mobility: Percent of People fromHigher Income (75th Ptile) who Grow up to be High Income (Top 20%)*</t>
  </si>
  <si>
    <t>Upward Mobility: Percent of People from Middle-Income Families (50th Ptile) who Grow up to be High Income (Top 20%)*</t>
  </si>
  <si>
    <t>Probability of reaching the top quintile of the national household income
distribution (among children born in the same years) in 2014-15 (HH Income, cohort Born Between 1984-89)</t>
  </si>
  <si>
    <t>Probability of reaching the top quintile of the national household income
distribution (among children born in the same years) in 2014-15 (HH Income, cohort Born Between 1978-83)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</si>
</sst>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10" fontId="0" fillId="2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Fill="1"/>
    <xf numFmtId="0" fontId="2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8A68E-990F-4C97-A753-2F6E2FED02D6}">
  <dimension ref="A1:D42"/>
  <sheetViews>
    <sheetView tabSelected="1" topLeftCell="A16" workbookViewId="0">
      <selection activeCell="B39" sqref="B39"/>
    </sheetView>
  </sheetViews>
  <sheetFormatPr baseColWidth="10" defaultColWidth="8.83203125" defaultRowHeight="15" x14ac:dyDescent="0.2"/>
  <cols>
    <col min="1" max="1" width="21.6640625" style="1" customWidth="1"/>
    <col min="2" max="2" width="31.83203125" customWidth="1"/>
    <col min="3" max="3" width="23.33203125" customWidth="1"/>
    <col min="4" max="4" width="26.6640625" customWidth="1"/>
  </cols>
  <sheetData>
    <row r="1" spans="1:4" ht="80" x14ac:dyDescent="0.2">
      <c r="A1" s="2" t="s">
        <v>72</v>
      </c>
      <c r="B1" s="4" t="s">
        <v>83</v>
      </c>
      <c r="C1" s="4" t="s">
        <v>81</v>
      </c>
      <c r="D1" s="4" t="s">
        <v>82</v>
      </c>
    </row>
    <row r="2" spans="1:4" x14ac:dyDescent="0.2">
      <c r="A2" s="1" t="s">
        <v>1</v>
      </c>
      <c r="B2" s="5">
        <v>0.11995</v>
      </c>
      <c r="C2" s="5">
        <v>0.17865175753831863</v>
      </c>
      <c r="D2" s="5">
        <v>0.25652496516704559</v>
      </c>
    </row>
    <row r="3" spans="1:4" x14ac:dyDescent="0.2">
      <c r="A3" s="1" t="s">
        <v>3</v>
      </c>
      <c r="B3" s="5">
        <v>0.13405</v>
      </c>
      <c r="C3" s="5">
        <v>0.1831669881939888</v>
      </c>
      <c r="D3" s="5">
        <v>0.25266723334789276</v>
      </c>
    </row>
    <row r="4" spans="1:4" x14ac:dyDescent="0.2">
      <c r="A4" s="1" t="s">
        <v>5</v>
      </c>
      <c r="B4" s="5">
        <v>0.13205</v>
      </c>
      <c r="C4" s="5">
        <v>0.18676257878541946</v>
      </c>
      <c r="D4" s="5">
        <v>0.26113595068454742</v>
      </c>
    </row>
    <row r="5" spans="1:4" x14ac:dyDescent="0.2">
      <c r="A5" s="1" t="s">
        <v>7</v>
      </c>
      <c r="B5" s="5">
        <v>0.1226</v>
      </c>
      <c r="C5" s="5">
        <v>0.17124989628791809</v>
      </c>
      <c r="D5" s="5">
        <v>0.2364623099565506</v>
      </c>
    </row>
    <row r="6" spans="1:4" x14ac:dyDescent="0.2">
      <c r="A6" s="1" t="s">
        <v>9</v>
      </c>
      <c r="B6" s="5">
        <v>0.1111</v>
      </c>
      <c r="C6" s="5">
        <v>0.16728146374225616</v>
      </c>
      <c r="D6" s="5">
        <v>0.23591799288988113</v>
      </c>
    </row>
    <row r="7" spans="1:4" x14ac:dyDescent="0.2">
      <c r="A7" s="1" t="s">
        <v>11</v>
      </c>
      <c r="B7" s="5">
        <v>9.7000000000000003E-2</v>
      </c>
      <c r="C7" s="5">
        <v>0.15681889653205872</v>
      </c>
      <c r="D7" s="5">
        <v>0.23317404836416245</v>
      </c>
    </row>
    <row r="8" spans="1:4" x14ac:dyDescent="0.2">
      <c r="A8" s="1" t="s">
        <v>13</v>
      </c>
      <c r="B8" s="5">
        <v>0.10744999999999999</v>
      </c>
      <c r="C8" s="5">
        <v>0.16170544177293777</v>
      </c>
      <c r="D8" s="5">
        <v>0.22461948543787003</v>
      </c>
    </row>
    <row r="9" spans="1:4" x14ac:dyDescent="0.2">
      <c r="A9" s="1" t="s">
        <v>15</v>
      </c>
      <c r="B9" s="5">
        <v>0.10355</v>
      </c>
      <c r="C9" s="5">
        <v>0.15961755812168121</v>
      </c>
      <c r="D9" s="5">
        <v>0.233036108314991</v>
      </c>
    </row>
    <row r="10" spans="1:4" x14ac:dyDescent="0.2">
      <c r="A10" s="1" t="s">
        <v>17</v>
      </c>
      <c r="B10" s="5">
        <v>0.11080000000000001</v>
      </c>
      <c r="C10" s="5">
        <v>0.16302844136953354</v>
      </c>
      <c r="D10" s="5">
        <v>0.23284910619258881</v>
      </c>
    </row>
    <row r="11" spans="1:4" x14ac:dyDescent="0.2">
      <c r="A11" s="1" t="s">
        <v>19</v>
      </c>
      <c r="B11" s="5">
        <v>9.6599999999999991E-2</v>
      </c>
      <c r="C11" s="5">
        <v>0.15642283856868744</v>
      </c>
      <c r="D11" s="5">
        <v>0.23663719743490219</v>
      </c>
    </row>
    <row r="12" spans="1:4" x14ac:dyDescent="0.2">
      <c r="A12" s="1" t="s">
        <v>21</v>
      </c>
      <c r="B12" s="5">
        <v>0.13905000000000001</v>
      </c>
      <c r="C12" s="5">
        <v>0.21476992219686508</v>
      </c>
      <c r="D12" s="5">
        <v>0.35407446324825287</v>
      </c>
    </row>
    <row r="13" spans="1:4" x14ac:dyDescent="0.2">
      <c r="A13" s="1" t="s">
        <v>23</v>
      </c>
      <c r="B13" s="5">
        <v>0.13245000000000001</v>
      </c>
      <c r="C13" s="5">
        <v>0.19515714049339294</v>
      </c>
      <c r="D13" s="5">
        <v>0.25920038670301437</v>
      </c>
    </row>
    <row r="14" spans="1:4" x14ac:dyDescent="0.2">
      <c r="A14" s="1" t="s">
        <v>25</v>
      </c>
      <c r="B14" s="5">
        <v>0.13290000000000002</v>
      </c>
      <c r="C14" s="5">
        <v>0.18085426837205887</v>
      </c>
      <c r="D14" s="5">
        <v>0.26297169923782349</v>
      </c>
    </row>
    <row r="15" spans="1:4" x14ac:dyDescent="0.2">
      <c r="A15" s="1" t="s">
        <v>27</v>
      </c>
      <c r="B15" s="5">
        <v>0.1062</v>
      </c>
      <c r="C15" s="5">
        <v>0.16095814853906631</v>
      </c>
      <c r="D15" s="5">
        <v>0.23745095729827881</v>
      </c>
    </row>
    <row r="16" spans="1:4" x14ac:dyDescent="0.2">
      <c r="A16" s="1" t="s">
        <v>29</v>
      </c>
      <c r="B16" s="5">
        <v>0.10115</v>
      </c>
      <c r="C16" s="5">
        <v>0.1554224044084549</v>
      </c>
      <c r="D16" s="5">
        <v>0.22963432967662811</v>
      </c>
    </row>
    <row r="17" spans="1:4" x14ac:dyDescent="0.2">
      <c r="A17" s="1" t="s">
        <v>31</v>
      </c>
      <c r="B17" s="5">
        <v>9.9400000000000002E-2</v>
      </c>
      <c r="C17" s="5">
        <v>0.14943099021911621</v>
      </c>
      <c r="D17" s="5">
        <v>0.21160411834716797</v>
      </c>
    </row>
    <row r="18" spans="1:4" x14ac:dyDescent="0.2">
      <c r="A18" s="1" t="s">
        <v>33</v>
      </c>
      <c r="B18" s="5">
        <v>9.9649999999999989E-2</v>
      </c>
      <c r="C18" s="5">
        <v>0.1567864716053009</v>
      </c>
      <c r="D18" s="5">
        <v>0.23785413801670074</v>
      </c>
    </row>
    <row r="19" spans="1:4" x14ac:dyDescent="0.2">
      <c r="A19" s="1" t="s">
        <v>35</v>
      </c>
      <c r="B19" s="5">
        <v>0.10200000000000001</v>
      </c>
      <c r="C19" s="5">
        <v>0.17355097830295563</v>
      </c>
      <c r="D19" s="5">
        <v>0.27164192497730255</v>
      </c>
    </row>
    <row r="20" spans="1:4" x14ac:dyDescent="0.2">
      <c r="A20" s="1" t="s">
        <v>37</v>
      </c>
      <c r="B20" s="5">
        <v>0.1158</v>
      </c>
      <c r="C20" s="5">
        <v>0.19606125354766846</v>
      </c>
      <c r="D20" s="5">
        <v>0.30083474516868591</v>
      </c>
    </row>
    <row r="21" spans="1:4" x14ac:dyDescent="0.2">
      <c r="A21" s="1" t="s">
        <v>39</v>
      </c>
      <c r="B21" s="5">
        <v>0.10145</v>
      </c>
      <c r="C21" s="5">
        <v>0.1598525196313858</v>
      </c>
      <c r="D21" s="5">
        <v>0.23969386518001556</v>
      </c>
    </row>
    <row r="22" spans="1:4" x14ac:dyDescent="0.2">
      <c r="A22" s="8" t="s">
        <v>41</v>
      </c>
      <c r="B22" s="8">
        <v>9.0200000000000002E-2</v>
      </c>
      <c r="C22" s="8">
        <v>0.1520252600312233</v>
      </c>
      <c r="D22" s="8">
        <v>0.23483929038047791</v>
      </c>
    </row>
    <row r="23" spans="1:4" x14ac:dyDescent="0.2">
      <c r="A23" s="1" t="s">
        <v>43</v>
      </c>
      <c r="B23" s="5">
        <v>9.8849999999999993E-2</v>
      </c>
      <c r="C23" s="5">
        <v>0.16302284598350525</v>
      </c>
      <c r="D23" s="5">
        <v>0.24344572424888611</v>
      </c>
    </row>
    <row r="24" spans="1:4" x14ac:dyDescent="0.2">
      <c r="A24" s="1" t="s">
        <v>45</v>
      </c>
      <c r="B24" s="5">
        <v>8.5300000000000001E-2</v>
      </c>
      <c r="C24" s="5">
        <v>0.15585272759199142</v>
      </c>
      <c r="D24" s="5">
        <v>0.23759430646896362</v>
      </c>
    </row>
    <row r="25" spans="1:4" x14ac:dyDescent="0.2">
      <c r="A25" s="1" t="s">
        <v>47</v>
      </c>
      <c r="B25" s="5">
        <v>9.265000000000001E-2</v>
      </c>
      <c r="C25" s="5">
        <v>0.15900285542011261</v>
      </c>
      <c r="D25" s="5">
        <v>0.24450585246086121</v>
      </c>
    </row>
    <row r="26" spans="1:4" x14ac:dyDescent="0.2">
      <c r="A26" s="1" t="s">
        <v>49</v>
      </c>
      <c r="B26" s="5">
        <v>0.14105000000000001</v>
      </c>
      <c r="C26" s="5">
        <v>0.20607253164052963</v>
      </c>
      <c r="D26" s="5">
        <v>0.28221705555915833</v>
      </c>
    </row>
    <row r="27" spans="1:4" x14ac:dyDescent="0.2">
      <c r="A27" s="1" t="s">
        <v>51</v>
      </c>
      <c r="B27" s="5">
        <v>0.10025000000000001</v>
      </c>
      <c r="C27" s="5">
        <v>0.15588001161813736</v>
      </c>
      <c r="D27" s="5">
        <v>0.23535837233066559</v>
      </c>
    </row>
    <row r="28" spans="1:4" x14ac:dyDescent="0.2">
      <c r="A28" s="8" t="s">
        <v>53</v>
      </c>
      <c r="B28" s="8">
        <v>9.9700000000000011E-2</v>
      </c>
      <c r="C28" s="8">
        <v>0.15925679355859756</v>
      </c>
      <c r="D28" s="8">
        <v>0.23523891717195511</v>
      </c>
    </row>
    <row r="29" spans="1:4" x14ac:dyDescent="0.2">
      <c r="A29" s="1" t="s">
        <v>55</v>
      </c>
      <c r="B29" s="5">
        <v>0.1336</v>
      </c>
      <c r="C29" s="5">
        <v>0.20521444827318192</v>
      </c>
      <c r="D29" s="5">
        <v>0.30323693156242371</v>
      </c>
    </row>
    <row r="30" spans="1:4" x14ac:dyDescent="0.2">
      <c r="A30" s="1" t="s">
        <v>57</v>
      </c>
      <c r="B30" s="5">
        <v>0.1105</v>
      </c>
      <c r="C30" s="5">
        <v>0.17274534702301025</v>
      </c>
      <c r="D30" s="5">
        <v>0.24036143720149994</v>
      </c>
    </row>
    <row r="31" spans="1:4" x14ac:dyDescent="0.2">
      <c r="A31" s="1" t="s">
        <v>59</v>
      </c>
      <c r="B31" s="5">
        <v>0.10034999999999999</v>
      </c>
      <c r="C31" s="5">
        <v>0.16621627658605576</v>
      </c>
      <c r="D31" s="5">
        <v>0.25040528178215027</v>
      </c>
    </row>
    <row r="32" spans="1:4" x14ac:dyDescent="0.2">
      <c r="A32" s="1" t="s">
        <v>61</v>
      </c>
      <c r="B32" s="5">
        <v>0.11705</v>
      </c>
      <c r="C32" s="5">
        <v>0.16808943450450897</v>
      </c>
      <c r="D32" s="5">
        <v>0.22783862054347992</v>
      </c>
    </row>
    <row r="33" spans="1:4" x14ac:dyDescent="0.2">
      <c r="A33" s="1" t="s">
        <v>63</v>
      </c>
      <c r="B33" s="5">
        <v>0.13755000000000001</v>
      </c>
      <c r="C33" s="5">
        <v>0.18984916061162949</v>
      </c>
      <c r="D33" s="5">
        <v>0.24759451299905777</v>
      </c>
    </row>
    <row r="34" spans="1:4" x14ac:dyDescent="0.2">
      <c r="A34" s="1" t="s">
        <v>65</v>
      </c>
      <c r="B34" s="5">
        <v>0.11729999999999999</v>
      </c>
      <c r="C34" s="5">
        <v>0.16985384374856949</v>
      </c>
      <c r="D34" s="5">
        <v>0.24227192252874374</v>
      </c>
    </row>
    <row r="35" spans="1:4" x14ac:dyDescent="0.2">
      <c r="A35" s="1" t="s">
        <v>67</v>
      </c>
      <c r="B35" s="5">
        <v>0.125</v>
      </c>
      <c r="C35" s="5">
        <v>0.18079082667827606</v>
      </c>
      <c r="D35" s="5">
        <v>0.2578233927488327</v>
      </c>
    </row>
    <row r="36" spans="1:4" x14ac:dyDescent="0.2">
      <c r="A36" s="8" t="s">
        <v>69</v>
      </c>
      <c r="B36" s="8">
        <v>0.12240000000000001</v>
      </c>
      <c r="C36" s="8">
        <v>0.19092707708477974</v>
      </c>
      <c r="D36" s="8">
        <v>0.36890524625778198</v>
      </c>
    </row>
    <row r="37" spans="1:4" x14ac:dyDescent="0.2">
      <c r="A37" s="1" t="s">
        <v>71</v>
      </c>
      <c r="B37" s="5">
        <v>0.10264999999999999</v>
      </c>
      <c r="C37" s="5">
        <v>0.15793959051370621</v>
      </c>
      <c r="D37" s="5">
        <v>0.23004170507192612</v>
      </c>
    </row>
    <row r="38" spans="1:4" x14ac:dyDescent="0.2">
      <c r="B38" s="5"/>
    </row>
    <row r="39" spans="1:4" x14ac:dyDescent="0.2">
      <c r="A39" s="12" t="s">
        <v>80</v>
      </c>
      <c r="B39" s="5">
        <f>AVERAGE(B2:B37)</f>
        <v>0.11221111111111111</v>
      </c>
      <c r="C39" s="5">
        <f t="shared" ref="C39:D39" si="0">AVERAGE(C2:C37)</f>
        <v>0.17167469414157999</v>
      </c>
      <c r="D39" s="5">
        <f t="shared" si="0"/>
        <v>0.25249065541558796</v>
      </c>
    </row>
    <row r="40" spans="1:4" x14ac:dyDescent="0.2">
      <c r="A40" s="12" t="s">
        <v>78</v>
      </c>
      <c r="B40" s="5">
        <v>0.1208365411124426</v>
      </c>
      <c r="C40" s="5">
        <v>0.19470000000000001</v>
      </c>
      <c r="D40" s="5">
        <v>0.29620000000000002</v>
      </c>
    </row>
    <row r="41" spans="1:4" ht="96" x14ac:dyDescent="0.2">
      <c r="B41" s="9" t="s">
        <v>76</v>
      </c>
    </row>
    <row r="42" spans="1:4" ht="32" x14ac:dyDescent="0.2">
      <c r="B42" s="10" t="s">
        <v>79</v>
      </c>
    </row>
  </sheetData>
  <autoFilter ref="A1:D1" xr:uid="{2794029E-ECE4-4F77-B9ED-0D8CB23E00D4}">
    <sortState ref="A2:D37">
      <sortCondition ref="A1"/>
    </sortState>
  </autoFilter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7ED8D-5BFB-4756-88BF-A5BFF630A8EE}">
  <dimension ref="A1:G39"/>
  <sheetViews>
    <sheetView workbookViewId="0">
      <selection activeCell="B1" sqref="B1:G1048576"/>
    </sheetView>
  </sheetViews>
  <sheetFormatPr baseColWidth="10" defaultColWidth="8.83203125" defaultRowHeight="15" x14ac:dyDescent="0.2"/>
  <cols>
    <col min="1" max="1" width="21" customWidth="1"/>
    <col min="2" max="2" width="21.33203125" style="1" customWidth="1"/>
    <col min="3" max="3" width="27.33203125" customWidth="1"/>
    <col min="4" max="4" width="14.33203125" customWidth="1"/>
    <col min="5" max="5" width="19.83203125" customWidth="1"/>
    <col min="6" max="6" width="13.83203125" customWidth="1"/>
    <col min="7" max="7" width="20.5" customWidth="1"/>
  </cols>
  <sheetData>
    <row r="1" spans="1:7" ht="144" x14ac:dyDescent="0.2">
      <c r="A1" s="2" t="s">
        <v>73</v>
      </c>
      <c r="B1" s="2" t="s">
        <v>72</v>
      </c>
      <c r="C1" s="3" t="s">
        <v>87</v>
      </c>
      <c r="D1" s="3" t="s">
        <v>74</v>
      </c>
      <c r="E1" s="3" t="s">
        <v>86</v>
      </c>
      <c r="F1" s="3" t="s">
        <v>75</v>
      </c>
      <c r="G1" s="4" t="s">
        <v>77</v>
      </c>
    </row>
    <row r="2" spans="1:7" s="11" customFormat="1" x14ac:dyDescent="0.2">
      <c r="A2" t="s">
        <v>0</v>
      </c>
      <c r="B2" s="1" t="s">
        <v>1</v>
      </c>
      <c r="C2" s="5">
        <v>9.3600000000000003E-2</v>
      </c>
      <c r="D2" s="1">
        <v>2171</v>
      </c>
      <c r="E2" s="5">
        <v>0.14630000000000001</v>
      </c>
      <c r="F2" s="1">
        <v>2170</v>
      </c>
      <c r="G2" s="5">
        <f t="shared" ref="G2:G37" si="0">AVERAGE(C2,E2)</f>
        <v>0.11995</v>
      </c>
    </row>
    <row r="3" spans="1:7" s="11" customFormat="1" x14ac:dyDescent="0.2">
      <c r="A3" t="s">
        <v>2</v>
      </c>
      <c r="B3" s="1" t="s">
        <v>3</v>
      </c>
      <c r="C3" s="5">
        <v>0.1338</v>
      </c>
      <c r="D3" s="1">
        <v>4575</v>
      </c>
      <c r="E3" s="5">
        <v>0.1343</v>
      </c>
      <c r="F3" s="1">
        <v>4618</v>
      </c>
      <c r="G3" s="5">
        <f t="shared" si="0"/>
        <v>0.13405</v>
      </c>
    </row>
    <row r="4" spans="1:7" s="11" customFormat="1" x14ac:dyDescent="0.2">
      <c r="A4" t="s">
        <v>4</v>
      </c>
      <c r="B4" s="1" t="s">
        <v>5</v>
      </c>
      <c r="C4" s="5">
        <v>0.1231</v>
      </c>
      <c r="D4" s="1">
        <v>26843</v>
      </c>
      <c r="E4" s="5">
        <v>0.14099999999999999</v>
      </c>
      <c r="F4" s="1">
        <v>27300</v>
      </c>
      <c r="G4" s="5">
        <f t="shared" si="0"/>
        <v>0.13205</v>
      </c>
    </row>
    <row r="5" spans="1:7" x14ac:dyDescent="0.2">
      <c r="A5" t="s">
        <v>6</v>
      </c>
      <c r="B5" s="1" t="s">
        <v>7</v>
      </c>
      <c r="C5" s="5">
        <v>0.1206</v>
      </c>
      <c r="D5" s="1">
        <v>4038</v>
      </c>
      <c r="E5" s="5">
        <v>0.1246</v>
      </c>
      <c r="F5" s="1">
        <v>4271</v>
      </c>
      <c r="G5" s="5">
        <f t="shared" si="0"/>
        <v>0.1226</v>
      </c>
    </row>
    <row r="6" spans="1:7" x14ac:dyDescent="0.2">
      <c r="A6" t="s">
        <v>8</v>
      </c>
      <c r="B6" s="1" t="s">
        <v>9</v>
      </c>
      <c r="C6" s="5">
        <v>0.1007</v>
      </c>
      <c r="D6" s="1">
        <v>3992</v>
      </c>
      <c r="E6" s="5">
        <v>0.1215</v>
      </c>
      <c r="F6" s="1">
        <v>4309</v>
      </c>
      <c r="G6" s="5">
        <f t="shared" si="0"/>
        <v>0.1111</v>
      </c>
    </row>
    <row r="7" spans="1:7" x14ac:dyDescent="0.2">
      <c r="A7" t="s">
        <v>10</v>
      </c>
      <c r="B7" s="1" t="s">
        <v>11</v>
      </c>
      <c r="C7" s="5">
        <v>8.7499999999999994E-2</v>
      </c>
      <c r="D7" s="1">
        <v>7191</v>
      </c>
      <c r="E7" s="5">
        <v>0.1065</v>
      </c>
      <c r="F7" s="1">
        <v>7818</v>
      </c>
      <c r="G7" s="5">
        <f t="shared" si="0"/>
        <v>9.7000000000000003E-2</v>
      </c>
    </row>
    <row r="8" spans="1:7" x14ac:dyDescent="0.2">
      <c r="A8" t="s">
        <v>12</v>
      </c>
      <c r="B8" s="1" t="s">
        <v>13</v>
      </c>
      <c r="C8" s="5">
        <v>9.4500000000000001E-2</v>
      </c>
      <c r="D8" s="1">
        <v>2449</v>
      </c>
      <c r="E8" s="5">
        <v>0.12039999999999999</v>
      </c>
      <c r="F8" s="1">
        <v>2683</v>
      </c>
      <c r="G8" s="5">
        <f t="shared" si="0"/>
        <v>0.10744999999999999</v>
      </c>
    </row>
    <row r="9" spans="1:7" x14ac:dyDescent="0.2">
      <c r="A9" t="s">
        <v>14</v>
      </c>
      <c r="B9" s="1" t="s">
        <v>15</v>
      </c>
      <c r="C9" s="5">
        <v>9.4899999999999998E-2</v>
      </c>
      <c r="D9" s="1">
        <v>2040</v>
      </c>
      <c r="E9" s="5">
        <v>0.11219999999999999</v>
      </c>
      <c r="F9" s="1">
        <v>2238</v>
      </c>
      <c r="G9" s="5">
        <f t="shared" si="0"/>
        <v>0.10355</v>
      </c>
    </row>
    <row r="10" spans="1:7" x14ac:dyDescent="0.2">
      <c r="A10" t="s">
        <v>16</v>
      </c>
      <c r="B10" s="1" t="s">
        <v>17</v>
      </c>
      <c r="C10" s="5">
        <v>0.1106</v>
      </c>
      <c r="D10" s="1">
        <v>12189</v>
      </c>
      <c r="E10" s="5">
        <v>0.111</v>
      </c>
      <c r="F10" s="1">
        <v>12505</v>
      </c>
      <c r="G10" s="5">
        <f t="shared" si="0"/>
        <v>0.11080000000000001</v>
      </c>
    </row>
    <row r="11" spans="1:7" x14ac:dyDescent="0.2">
      <c r="A11" t="s">
        <v>18</v>
      </c>
      <c r="B11" s="1" t="s">
        <v>19</v>
      </c>
      <c r="C11" s="5">
        <v>8.5699999999999998E-2</v>
      </c>
      <c r="D11" s="1">
        <v>12338</v>
      </c>
      <c r="E11" s="5">
        <v>0.1075</v>
      </c>
      <c r="F11" s="1">
        <v>12777</v>
      </c>
      <c r="G11" s="5">
        <f t="shared" si="0"/>
        <v>9.6599999999999991E-2</v>
      </c>
    </row>
    <row r="12" spans="1:7" x14ac:dyDescent="0.2">
      <c r="A12" s="6" t="s">
        <v>20</v>
      </c>
      <c r="B12" s="7" t="s">
        <v>21</v>
      </c>
      <c r="C12" s="8">
        <v>7.6600000000000001E-2</v>
      </c>
      <c r="D12" s="7">
        <v>167</v>
      </c>
      <c r="E12" s="8">
        <v>0.20150000000000001</v>
      </c>
      <c r="F12" s="7">
        <v>209</v>
      </c>
      <c r="G12" s="8">
        <f t="shared" si="0"/>
        <v>0.13905000000000001</v>
      </c>
    </row>
    <row r="13" spans="1:7" x14ac:dyDescent="0.2">
      <c r="A13" t="s">
        <v>22</v>
      </c>
      <c r="B13" s="1" t="s">
        <v>23</v>
      </c>
      <c r="C13" s="5">
        <v>0.1145</v>
      </c>
      <c r="D13" s="1">
        <v>981</v>
      </c>
      <c r="E13" s="5">
        <v>0.15040000000000001</v>
      </c>
      <c r="F13" s="1">
        <v>1038</v>
      </c>
      <c r="G13" s="5">
        <f t="shared" si="0"/>
        <v>0.13245000000000001</v>
      </c>
    </row>
    <row r="14" spans="1:7" x14ac:dyDescent="0.2">
      <c r="A14" t="s">
        <v>24</v>
      </c>
      <c r="B14" s="1" t="s">
        <v>25</v>
      </c>
      <c r="C14" s="5">
        <v>0.11269999999999999</v>
      </c>
      <c r="D14" s="1">
        <v>1159</v>
      </c>
      <c r="E14" s="5">
        <v>0.15310000000000001</v>
      </c>
      <c r="F14" s="1">
        <v>1139</v>
      </c>
      <c r="G14" s="5">
        <f t="shared" si="0"/>
        <v>0.13290000000000002</v>
      </c>
    </row>
    <row r="15" spans="1:7" x14ac:dyDescent="0.2">
      <c r="A15" t="s">
        <v>26</v>
      </c>
      <c r="B15" s="1" t="s">
        <v>27</v>
      </c>
      <c r="C15" s="5">
        <v>9.8400000000000001E-2</v>
      </c>
      <c r="D15" s="1">
        <v>3104</v>
      </c>
      <c r="E15" s="5">
        <v>0.114</v>
      </c>
      <c r="F15" s="1">
        <v>3019</v>
      </c>
      <c r="G15" s="5">
        <f t="shared" si="0"/>
        <v>0.1062</v>
      </c>
    </row>
    <row r="16" spans="1:7" x14ac:dyDescent="0.2">
      <c r="A16" t="s">
        <v>28</v>
      </c>
      <c r="B16" s="1" t="s">
        <v>29</v>
      </c>
      <c r="C16" s="5">
        <v>9.5600000000000004E-2</v>
      </c>
      <c r="D16" s="1">
        <v>21939</v>
      </c>
      <c r="E16" s="5">
        <v>0.1067</v>
      </c>
      <c r="F16" s="1">
        <v>22961</v>
      </c>
      <c r="G16" s="5">
        <f t="shared" si="0"/>
        <v>0.10115</v>
      </c>
    </row>
    <row r="17" spans="1:7" x14ac:dyDescent="0.2">
      <c r="A17" t="s">
        <v>30</v>
      </c>
      <c r="B17" s="1" t="s">
        <v>31</v>
      </c>
      <c r="C17" s="5">
        <v>8.9300000000000004E-2</v>
      </c>
      <c r="D17" s="1">
        <v>3084</v>
      </c>
      <c r="E17" s="5">
        <v>0.1095</v>
      </c>
      <c r="F17" s="1">
        <v>3223</v>
      </c>
      <c r="G17" s="5">
        <f t="shared" si="0"/>
        <v>9.9400000000000002E-2</v>
      </c>
    </row>
    <row r="18" spans="1:7" x14ac:dyDescent="0.2">
      <c r="A18" t="s">
        <v>32</v>
      </c>
      <c r="B18" s="1" t="s">
        <v>33</v>
      </c>
      <c r="C18" s="5">
        <v>9.6799999999999997E-2</v>
      </c>
      <c r="D18" s="1">
        <v>10518</v>
      </c>
      <c r="E18" s="5">
        <v>0.10249999999999999</v>
      </c>
      <c r="F18" s="1">
        <v>10514</v>
      </c>
      <c r="G18" s="5">
        <f t="shared" si="0"/>
        <v>9.9649999999999989E-2</v>
      </c>
    </row>
    <row r="19" spans="1:7" x14ac:dyDescent="0.2">
      <c r="A19" t="s">
        <v>34</v>
      </c>
      <c r="B19" s="1" t="s">
        <v>35</v>
      </c>
      <c r="C19" s="5">
        <v>9.9000000000000005E-2</v>
      </c>
      <c r="D19" s="1">
        <v>8243</v>
      </c>
      <c r="E19" s="5">
        <v>0.105</v>
      </c>
      <c r="F19" s="1">
        <v>9176</v>
      </c>
      <c r="G19" s="5">
        <f t="shared" si="0"/>
        <v>0.10200000000000001</v>
      </c>
    </row>
    <row r="20" spans="1:7" x14ac:dyDescent="0.2">
      <c r="A20" t="s">
        <v>36</v>
      </c>
      <c r="B20" s="1" t="s">
        <v>37</v>
      </c>
      <c r="C20" s="5">
        <v>0.1211</v>
      </c>
      <c r="D20" s="1">
        <v>1020</v>
      </c>
      <c r="E20" s="5">
        <v>0.1105</v>
      </c>
      <c r="F20" s="1">
        <v>1085</v>
      </c>
      <c r="G20" s="5">
        <f t="shared" si="0"/>
        <v>0.1158</v>
      </c>
    </row>
    <row r="21" spans="1:7" x14ac:dyDescent="0.2">
      <c r="A21" t="s">
        <v>38</v>
      </c>
      <c r="B21" s="1" t="s">
        <v>39</v>
      </c>
      <c r="C21" s="5">
        <v>0.1012</v>
      </c>
      <c r="D21" s="1">
        <v>31453</v>
      </c>
      <c r="E21" s="5">
        <v>0.1017</v>
      </c>
      <c r="F21" s="1">
        <v>33075</v>
      </c>
      <c r="G21" s="5">
        <f t="shared" si="0"/>
        <v>0.10145</v>
      </c>
    </row>
    <row r="22" spans="1:7" x14ac:dyDescent="0.2">
      <c r="A22" t="s">
        <v>40</v>
      </c>
      <c r="B22" s="1" t="s">
        <v>41</v>
      </c>
      <c r="C22" s="5">
        <v>8.7499999999999994E-2</v>
      </c>
      <c r="D22" s="1">
        <v>4950</v>
      </c>
      <c r="E22" s="5">
        <v>9.2899999999999996E-2</v>
      </c>
      <c r="F22" s="1">
        <v>5377</v>
      </c>
      <c r="G22" s="5">
        <f t="shared" si="0"/>
        <v>9.0200000000000002E-2</v>
      </c>
    </row>
    <row r="23" spans="1:7" x14ac:dyDescent="0.2">
      <c r="A23" t="s">
        <v>42</v>
      </c>
      <c r="B23" s="1" t="s">
        <v>43</v>
      </c>
      <c r="C23" s="5">
        <v>8.4699999999999998E-2</v>
      </c>
      <c r="D23" s="1">
        <v>12135</v>
      </c>
      <c r="E23" s="5">
        <v>0.113</v>
      </c>
      <c r="F23" s="1">
        <v>12510</v>
      </c>
      <c r="G23" s="5">
        <f t="shared" si="0"/>
        <v>9.8849999999999993E-2</v>
      </c>
    </row>
    <row r="24" spans="1:7" x14ac:dyDescent="0.2">
      <c r="A24" t="s">
        <v>44</v>
      </c>
      <c r="B24" s="1" t="s">
        <v>45</v>
      </c>
      <c r="C24" s="5">
        <v>7.5600000000000001E-2</v>
      </c>
      <c r="D24" s="1">
        <v>5205</v>
      </c>
      <c r="E24" s="5">
        <v>9.5000000000000001E-2</v>
      </c>
      <c r="F24" s="1">
        <v>5409</v>
      </c>
      <c r="G24" s="5">
        <f t="shared" si="0"/>
        <v>8.5300000000000001E-2</v>
      </c>
    </row>
    <row r="25" spans="1:7" x14ac:dyDescent="0.2">
      <c r="A25" t="s">
        <v>46</v>
      </c>
      <c r="B25" s="1" t="s">
        <v>47</v>
      </c>
      <c r="C25" s="5">
        <v>8.0500000000000002E-2</v>
      </c>
      <c r="D25" s="1">
        <v>35342</v>
      </c>
      <c r="E25" s="5">
        <v>0.1048</v>
      </c>
      <c r="F25" s="1">
        <v>38722</v>
      </c>
      <c r="G25" s="5">
        <f t="shared" si="0"/>
        <v>9.265000000000001E-2</v>
      </c>
    </row>
    <row r="26" spans="1:7" x14ac:dyDescent="0.2">
      <c r="A26" t="s">
        <v>48</v>
      </c>
      <c r="B26" s="1" t="s">
        <v>49</v>
      </c>
      <c r="C26" s="5">
        <v>0.14749999999999999</v>
      </c>
      <c r="D26" s="1">
        <v>1773</v>
      </c>
      <c r="E26" s="5">
        <v>0.1346</v>
      </c>
      <c r="F26" s="1">
        <v>1849</v>
      </c>
      <c r="G26" s="5">
        <f t="shared" si="0"/>
        <v>0.14105000000000001</v>
      </c>
    </row>
    <row r="27" spans="1:7" x14ac:dyDescent="0.2">
      <c r="A27" t="s">
        <v>50</v>
      </c>
      <c r="B27" s="1" t="s">
        <v>51</v>
      </c>
      <c r="C27" s="5">
        <v>9.7500000000000003E-2</v>
      </c>
      <c r="D27" s="1">
        <v>64594</v>
      </c>
      <c r="E27" s="5">
        <v>0.10299999999999999</v>
      </c>
      <c r="F27" s="1">
        <v>66761</v>
      </c>
      <c r="G27" s="5">
        <f t="shared" si="0"/>
        <v>0.10025000000000001</v>
      </c>
    </row>
    <row r="28" spans="1:7" x14ac:dyDescent="0.2">
      <c r="A28" t="s">
        <v>52</v>
      </c>
      <c r="B28" s="1" t="s">
        <v>53</v>
      </c>
      <c r="C28" s="5">
        <v>9.0200000000000002E-2</v>
      </c>
      <c r="D28" s="1">
        <v>6232</v>
      </c>
      <c r="E28" s="5">
        <v>0.10920000000000001</v>
      </c>
      <c r="F28" s="1">
        <v>6647</v>
      </c>
      <c r="G28" s="5">
        <f t="shared" si="0"/>
        <v>9.9700000000000011E-2</v>
      </c>
    </row>
    <row r="29" spans="1:7" x14ac:dyDescent="0.2">
      <c r="A29" s="6" t="s">
        <v>54</v>
      </c>
      <c r="B29" s="7" t="s">
        <v>55</v>
      </c>
      <c r="C29" s="8">
        <v>2.3900000000000001E-2</v>
      </c>
      <c r="D29" s="7">
        <v>220</v>
      </c>
      <c r="E29" s="8">
        <v>0.24329999999999999</v>
      </c>
      <c r="F29" s="7">
        <v>222</v>
      </c>
      <c r="G29" s="8">
        <f t="shared" si="0"/>
        <v>0.1336</v>
      </c>
    </row>
    <row r="30" spans="1:7" x14ac:dyDescent="0.2">
      <c r="A30" t="s">
        <v>56</v>
      </c>
      <c r="B30" s="1" t="s">
        <v>57</v>
      </c>
      <c r="C30" s="5">
        <v>9.1999999999999998E-2</v>
      </c>
      <c r="D30" s="1">
        <v>2706</v>
      </c>
      <c r="E30" s="5">
        <v>0.129</v>
      </c>
      <c r="F30" s="1">
        <v>2844</v>
      </c>
      <c r="G30" s="5">
        <f t="shared" si="0"/>
        <v>0.1105</v>
      </c>
    </row>
    <row r="31" spans="1:7" x14ac:dyDescent="0.2">
      <c r="A31" t="s">
        <v>58</v>
      </c>
      <c r="B31" s="1" t="s">
        <v>59</v>
      </c>
      <c r="C31" s="5">
        <v>9.01E-2</v>
      </c>
      <c r="D31" s="1">
        <v>9248</v>
      </c>
      <c r="E31" s="5">
        <v>0.1106</v>
      </c>
      <c r="F31" s="1">
        <v>10084</v>
      </c>
      <c r="G31" s="5">
        <f t="shared" si="0"/>
        <v>0.10034999999999999</v>
      </c>
    </row>
    <row r="32" spans="1:7" x14ac:dyDescent="0.2">
      <c r="A32" t="s">
        <v>60</v>
      </c>
      <c r="B32" s="1" t="s">
        <v>61</v>
      </c>
      <c r="C32" s="5">
        <v>0.1135</v>
      </c>
      <c r="D32" s="1">
        <v>2512</v>
      </c>
      <c r="E32" s="5">
        <v>0.1206</v>
      </c>
      <c r="F32" s="1">
        <v>2551</v>
      </c>
      <c r="G32" s="5">
        <f t="shared" si="0"/>
        <v>0.11705</v>
      </c>
    </row>
    <row r="33" spans="1:7" x14ac:dyDescent="0.2">
      <c r="A33" t="s">
        <v>62</v>
      </c>
      <c r="B33" s="1" t="s">
        <v>63</v>
      </c>
      <c r="C33" s="5">
        <v>0.12470000000000001</v>
      </c>
      <c r="D33" s="1">
        <v>989</v>
      </c>
      <c r="E33" s="5">
        <v>0.15040000000000001</v>
      </c>
      <c r="F33" s="1">
        <v>867</v>
      </c>
      <c r="G33" s="5">
        <f t="shared" si="0"/>
        <v>0.13755000000000001</v>
      </c>
    </row>
    <row r="34" spans="1:7" x14ac:dyDescent="0.2">
      <c r="A34" t="s">
        <v>64</v>
      </c>
      <c r="B34" s="1" t="s">
        <v>65</v>
      </c>
      <c r="C34" s="5">
        <v>0.11269999999999999</v>
      </c>
      <c r="D34" s="1">
        <v>2920</v>
      </c>
      <c r="E34" s="5">
        <v>0.12189999999999999</v>
      </c>
      <c r="F34" s="1">
        <v>3196</v>
      </c>
      <c r="G34" s="5">
        <f t="shared" si="0"/>
        <v>0.11729999999999999</v>
      </c>
    </row>
    <row r="35" spans="1:7" x14ac:dyDescent="0.2">
      <c r="A35" t="s">
        <v>66</v>
      </c>
      <c r="B35" s="1" t="s">
        <v>67</v>
      </c>
      <c r="C35" s="5">
        <v>0.1244</v>
      </c>
      <c r="D35" s="1">
        <v>36495</v>
      </c>
      <c r="E35" s="5">
        <v>0.12559999999999999</v>
      </c>
      <c r="F35" s="1">
        <v>37975</v>
      </c>
      <c r="G35" s="5">
        <f t="shared" si="0"/>
        <v>0.125</v>
      </c>
    </row>
    <row r="36" spans="1:7" x14ac:dyDescent="0.2">
      <c r="A36" s="6" t="s">
        <v>68</v>
      </c>
      <c r="B36" s="7" t="s">
        <v>69</v>
      </c>
      <c r="C36" s="8">
        <v>0.15620000000000001</v>
      </c>
      <c r="D36" s="7">
        <v>253</v>
      </c>
      <c r="E36" s="8">
        <v>8.8599999999999998E-2</v>
      </c>
      <c r="F36" s="7">
        <v>232</v>
      </c>
      <c r="G36" s="8">
        <f t="shared" si="0"/>
        <v>0.12240000000000001</v>
      </c>
    </row>
    <row r="37" spans="1:7" x14ac:dyDescent="0.2">
      <c r="A37" t="s">
        <v>70</v>
      </c>
      <c r="B37" s="1" t="s">
        <v>71</v>
      </c>
      <c r="C37" s="5">
        <v>9.1200000000000003E-2</v>
      </c>
      <c r="D37" s="1">
        <v>9292</v>
      </c>
      <c r="E37" s="5">
        <v>0.11409999999999999</v>
      </c>
      <c r="F37" s="1">
        <v>9377</v>
      </c>
      <c r="G37" s="5">
        <f t="shared" si="0"/>
        <v>0.10264999999999999</v>
      </c>
    </row>
    <row r="39" spans="1:7" ht="48" x14ac:dyDescent="0.2">
      <c r="G39" s="10" t="s">
        <v>79</v>
      </c>
    </row>
  </sheetData>
  <autoFilter ref="A1:G1" xr:uid="{56B39E03-DCE8-4D46-8638-0306B4364DDC}">
    <sortState ref="A2:G37">
      <sortCondition ref="B1"/>
    </sortState>
  </autoFilter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1CB8-776D-4B3C-9159-F4E66FFBB489}">
  <dimension ref="A1:E39"/>
  <sheetViews>
    <sheetView workbookViewId="0">
      <selection activeCell="B1" sqref="B1:E1048576"/>
    </sheetView>
  </sheetViews>
  <sheetFormatPr baseColWidth="10" defaultColWidth="8.83203125" defaultRowHeight="15" x14ac:dyDescent="0.2"/>
  <cols>
    <col min="1" max="1" width="21" customWidth="1"/>
    <col min="2" max="2" width="21.33203125" style="1" customWidth="1"/>
    <col min="3" max="3" width="27.33203125" customWidth="1"/>
    <col min="4" max="4" width="19.83203125" customWidth="1"/>
    <col min="5" max="5" width="20.5" customWidth="1"/>
  </cols>
  <sheetData>
    <row r="1" spans="1:5" ht="144" x14ac:dyDescent="0.2">
      <c r="A1" s="2" t="s">
        <v>73</v>
      </c>
      <c r="B1" s="2" t="s">
        <v>72</v>
      </c>
      <c r="C1" s="3" t="s">
        <v>87</v>
      </c>
      <c r="D1" s="3" t="s">
        <v>86</v>
      </c>
      <c r="E1" s="4" t="s">
        <v>85</v>
      </c>
    </row>
    <row r="2" spans="1:5" s="11" customFormat="1" x14ac:dyDescent="0.2">
      <c r="A2" t="s">
        <v>0</v>
      </c>
      <c r="B2" s="1" t="s">
        <v>1</v>
      </c>
      <c r="C2" s="5">
        <v>0.15845906734466553</v>
      </c>
      <c r="D2" s="5">
        <v>0.19884444773197174</v>
      </c>
      <c r="E2" s="5">
        <f t="shared" ref="E2:E37" si="0">AVERAGE(C2,D2)</f>
        <v>0.17865175753831863</v>
      </c>
    </row>
    <row r="3" spans="1:5" s="11" customFormat="1" x14ac:dyDescent="0.2">
      <c r="A3" t="s">
        <v>2</v>
      </c>
      <c r="B3" s="1" t="s">
        <v>3</v>
      </c>
      <c r="C3" s="5">
        <v>0.18293109536170959</v>
      </c>
      <c r="D3" s="5">
        <v>0.18340288102626801</v>
      </c>
      <c r="E3" s="5">
        <f t="shared" si="0"/>
        <v>0.1831669881939888</v>
      </c>
    </row>
    <row r="4" spans="1:5" s="11" customFormat="1" x14ac:dyDescent="0.2">
      <c r="A4" t="s">
        <v>4</v>
      </c>
      <c r="B4" s="1" t="s">
        <v>5</v>
      </c>
      <c r="C4" s="5">
        <v>0.17887678742408752</v>
      </c>
      <c r="D4" s="5">
        <v>0.1946483701467514</v>
      </c>
      <c r="E4" s="5">
        <f t="shared" si="0"/>
        <v>0.18676257878541946</v>
      </c>
    </row>
    <row r="5" spans="1:5" x14ac:dyDescent="0.2">
      <c r="A5" t="s">
        <v>6</v>
      </c>
      <c r="B5" s="1" t="s">
        <v>7</v>
      </c>
      <c r="C5" s="5">
        <v>0.1670881062746048</v>
      </c>
      <c r="D5" s="5">
        <v>0.17541168630123138</v>
      </c>
      <c r="E5" s="5">
        <f t="shared" si="0"/>
        <v>0.17124989628791809</v>
      </c>
    </row>
    <row r="6" spans="1:5" x14ac:dyDescent="0.2">
      <c r="A6" t="s">
        <v>8</v>
      </c>
      <c r="B6" s="1" t="s">
        <v>9</v>
      </c>
      <c r="C6" s="5">
        <v>0.1523248702287674</v>
      </c>
      <c r="D6" s="5">
        <v>0.18223805725574493</v>
      </c>
      <c r="E6" s="5">
        <f t="shared" si="0"/>
        <v>0.16728146374225616</v>
      </c>
    </row>
    <row r="7" spans="1:5" x14ac:dyDescent="0.2">
      <c r="A7" t="s">
        <v>10</v>
      </c>
      <c r="B7" s="1" t="s">
        <v>11</v>
      </c>
      <c r="C7" s="5">
        <v>0.14441922307014465</v>
      </c>
      <c r="D7" s="5">
        <v>0.16921856999397278</v>
      </c>
      <c r="E7" s="5">
        <f t="shared" si="0"/>
        <v>0.15681889653205872</v>
      </c>
    </row>
    <row r="8" spans="1:5" x14ac:dyDescent="0.2">
      <c r="A8" t="s">
        <v>12</v>
      </c>
      <c r="B8" s="1" t="s">
        <v>13</v>
      </c>
      <c r="C8" s="5">
        <v>0.14286088943481445</v>
      </c>
      <c r="D8" s="5">
        <v>0.1805499941110611</v>
      </c>
      <c r="E8" s="5">
        <f t="shared" si="0"/>
        <v>0.16170544177293777</v>
      </c>
    </row>
    <row r="9" spans="1:5" x14ac:dyDescent="0.2">
      <c r="A9" t="s">
        <v>14</v>
      </c>
      <c r="B9" s="1" t="s">
        <v>15</v>
      </c>
      <c r="C9" s="5">
        <v>0.14963313937187195</v>
      </c>
      <c r="D9" s="5">
        <v>0.16960197687149048</v>
      </c>
      <c r="E9" s="5">
        <f t="shared" si="0"/>
        <v>0.15961755812168121</v>
      </c>
    </row>
    <row r="10" spans="1:5" x14ac:dyDescent="0.2">
      <c r="A10" t="s">
        <v>16</v>
      </c>
      <c r="B10" s="1" t="s">
        <v>17</v>
      </c>
      <c r="C10" s="5">
        <v>0.15955950319766998</v>
      </c>
      <c r="D10" s="5">
        <v>0.16649737954139709</v>
      </c>
      <c r="E10" s="5">
        <f t="shared" si="0"/>
        <v>0.16302844136953354</v>
      </c>
    </row>
    <row r="11" spans="1:5" x14ac:dyDescent="0.2">
      <c r="A11" t="s">
        <v>18</v>
      </c>
      <c r="B11" s="1" t="s">
        <v>19</v>
      </c>
      <c r="C11" s="5">
        <v>0.14617092907428741</v>
      </c>
      <c r="D11" s="5">
        <v>0.16667474806308746</v>
      </c>
      <c r="E11" s="5">
        <f t="shared" si="0"/>
        <v>0.15642283856868744</v>
      </c>
    </row>
    <row r="12" spans="1:5" x14ac:dyDescent="0.2">
      <c r="A12" s="6" t="s">
        <v>20</v>
      </c>
      <c r="B12" s="7" t="s">
        <v>21</v>
      </c>
      <c r="C12" s="8">
        <v>0.20208458602428436</v>
      </c>
      <c r="D12" s="8">
        <v>0.2274552583694458</v>
      </c>
      <c r="E12" s="8">
        <f t="shared" si="0"/>
        <v>0.21476992219686508</v>
      </c>
    </row>
    <row r="13" spans="1:5" x14ac:dyDescent="0.2">
      <c r="A13" t="s">
        <v>22</v>
      </c>
      <c r="B13" s="1" t="s">
        <v>23</v>
      </c>
      <c r="C13" s="5">
        <v>0.16465969383716583</v>
      </c>
      <c r="D13" s="5">
        <v>0.22565458714962006</v>
      </c>
      <c r="E13" s="5">
        <f t="shared" si="0"/>
        <v>0.19515714049339294</v>
      </c>
    </row>
    <row r="14" spans="1:5" x14ac:dyDescent="0.2">
      <c r="A14" t="s">
        <v>24</v>
      </c>
      <c r="B14" s="1" t="s">
        <v>25</v>
      </c>
      <c r="C14" s="5">
        <v>0.17972935736179352</v>
      </c>
      <c r="D14" s="5">
        <v>0.18197917938232422</v>
      </c>
      <c r="E14" s="5">
        <f t="shared" si="0"/>
        <v>0.18085426837205887</v>
      </c>
    </row>
    <row r="15" spans="1:5" x14ac:dyDescent="0.2">
      <c r="A15" t="s">
        <v>26</v>
      </c>
      <c r="B15" s="1" t="s">
        <v>27</v>
      </c>
      <c r="C15" s="5">
        <v>0.15531252324581146</v>
      </c>
      <c r="D15" s="5">
        <v>0.16660377383232117</v>
      </c>
      <c r="E15" s="5">
        <f t="shared" si="0"/>
        <v>0.16095814853906631</v>
      </c>
    </row>
    <row r="16" spans="1:5" x14ac:dyDescent="0.2">
      <c r="A16" t="s">
        <v>28</v>
      </c>
      <c r="B16" s="1" t="s">
        <v>29</v>
      </c>
      <c r="C16" s="5">
        <v>0.149945467710495</v>
      </c>
      <c r="D16" s="5">
        <v>0.16089934110641479</v>
      </c>
      <c r="E16" s="5">
        <f t="shared" si="0"/>
        <v>0.1554224044084549</v>
      </c>
    </row>
    <row r="17" spans="1:5" x14ac:dyDescent="0.2">
      <c r="A17" t="s">
        <v>30</v>
      </c>
      <c r="B17" s="1" t="s">
        <v>31</v>
      </c>
      <c r="C17" s="5">
        <v>0.13644930720329285</v>
      </c>
      <c r="D17" s="5">
        <v>0.16241267323493958</v>
      </c>
      <c r="E17" s="5">
        <f t="shared" si="0"/>
        <v>0.14943099021911621</v>
      </c>
    </row>
    <row r="18" spans="1:5" x14ac:dyDescent="0.2">
      <c r="A18" t="s">
        <v>32</v>
      </c>
      <c r="B18" s="1" t="s">
        <v>33</v>
      </c>
      <c r="C18" s="5">
        <v>0.15508215129375458</v>
      </c>
      <c r="D18" s="5">
        <v>0.15849079191684723</v>
      </c>
      <c r="E18" s="5">
        <f t="shared" si="0"/>
        <v>0.1567864716053009</v>
      </c>
    </row>
    <row r="19" spans="1:5" x14ac:dyDescent="0.2">
      <c r="A19" t="s">
        <v>34</v>
      </c>
      <c r="B19" s="1" t="s">
        <v>35</v>
      </c>
      <c r="C19" s="5">
        <v>0.16914276778697968</v>
      </c>
      <c r="D19" s="5">
        <v>0.17795918881893158</v>
      </c>
      <c r="E19" s="5">
        <f t="shared" si="0"/>
        <v>0.17355097830295563</v>
      </c>
    </row>
    <row r="20" spans="1:5" x14ac:dyDescent="0.2">
      <c r="A20" t="s">
        <v>36</v>
      </c>
      <c r="B20" s="1" t="s">
        <v>37</v>
      </c>
      <c r="C20" s="5">
        <v>0.19215627014636993</v>
      </c>
      <c r="D20" s="5">
        <v>0.19996623694896698</v>
      </c>
      <c r="E20" s="5">
        <f t="shared" si="0"/>
        <v>0.19606125354766846</v>
      </c>
    </row>
    <row r="21" spans="1:5" x14ac:dyDescent="0.2">
      <c r="A21" t="s">
        <v>38</v>
      </c>
      <c r="B21" s="1" t="s">
        <v>39</v>
      </c>
      <c r="C21" s="5">
        <v>0.1573716402053833</v>
      </c>
      <c r="D21" s="5">
        <v>0.16233339905738831</v>
      </c>
      <c r="E21" s="5">
        <f t="shared" si="0"/>
        <v>0.1598525196313858</v>
      </c>
    </row>
    <row r="22" spans="1:5" x14ac:dyDescent="0.2">
      <c r="A22" t="s">
        <v>40</v>
      </c>
      <c r="B22" s="1" t="s">
        <v>41</v>
      </c>
      <c r="C22" s="5">
        <v>0.14658889174461365</v>
      </c>
      <c r="D22" s="5">
        <v>0.15746162831783295</v>
      </c>
      <c r="E22" s="5">
        <f t="shared" si="0"/>
        <v>0.1520252600312233</v>
      </c>
    </row>
    <row r="23" spans="1:5" x14ac:dyDescent="0.2">
      <c r="A23" t="s">
        <v>42</v>
      </c>
      <c r="B23" s="1" t="s">
        <v>43</v>
      </c>
      <c r="C23" s="5">
        <v>0.14613522589206696</v>
      </c>
      <c r="D23" s="5">
        <v>0.17991046607494354</v>
      </c>
      <c r="E23" s="5">
        <f t="shared" si="0"/>
        <v>0.16302284598350525</v>
      </c>
    </row>
    <row r="24" spans="1:5" x14ac:dyDescent="0.2">
      <c r="A24" t="s">
        <v>44</v>
      </c>
      <c r="B24" s="1" t="s">
        <v>45</v>
      </c>
      <c r="C24" s="5">
        <v>0.13554292917251587</v>
      </c>
      <c r="D24" s="5">
        <v>0.17616252601146698</v>
      </c>
      <c r="E24" s="5">
        <f t="shared" si="0"/>
        <v>0.15585272759199142</v>
      </c>
    </row>
    <row r="25" spans="1:5" x14ac:dyDescent="0.2">
      <c r="A25" t="s">
        <v>46</v>
      </c>
      <c r="B25" s="1" t="s">
        <v>47</v>
      </c>
      <c r="C25" s="5">
        <v>0.14494211971759796</v>
      </c>
      <c r="D25" s="5">
        <v>0.17306359112262726</v>
      </c>
      <c r="E25" s="5">
        <f t="shared" si="0"/>
        <v>0.15900285542011261</v>
      </c>
    </row>
    <row r="26" spans="1:5" x14ac:dyDescent="0.2">
      <c r="A26" t="s">
        <v>48</v>
      </c>
      <c r="B26" s="1" t="s">
        <v>49</v>
      </c>
      <c r="C26" s="5">
        <v>0.19729869067668915</v>
      </c>
      <c r="D26" s="5">
        <v>0.21484637260437012</v>
      </c>
      <c r="E26" s="5">
        <f t="shared" si="0"/>
        <v>0.20607253164052963</v>
      </c>
    </row>
    <row r="27" spans="1:5" x14ac:dyDescent="0.2">
      <c r="A27" t="s">
        <v>50</v>
      </c>
      <c r="B27" s="1" t="s">
        <v>51</v>
      </c>
      <c r="C27" s="5">
        <v>0.1546681672334671</v>
      </c>
      <c r="D27" s="5">
        <v>0.15709185600280762</v>
      </c>
      <c r="E27" s="5">
        <f t="shared" si="0"/>
        <v>0.15588001161813736</v>
      </c>
    </row>
    <row r="28" spans="1:5" x14ac:dyDescent="0.2">
      <c r="A28" t="s">
        <v>52</v>
      </c>
      <c r="B28" s="1" t="s">
        <v>53</v>
      </c>
      <c r="C28" s="5">
        <v>0.14684031903743744</v>
      </c>
      <c r="D28" s="5">
        <v>0.17167326807975769</v>
      </c>
      <c r="E28" s="5">
        <f t="shared" si="0"/>
        <v>0.15925679355859756</v>
      </c>
    </row>
    <row r="29" spans="1:5" x14ac:dyDescent="0.2">
      <c r="A29" s="6" t="s">
        <v>54</v>
      </c>
      <c r="B29" s="7" t="s">
        <v>55</v>
      </c>
      <c r="C29" s="8">
        <v>0.13597418367862701</v>
      </c>
      <c r="D29" s="8">
        <v>0.27445471286773682</v>
      </c>
      <c r="E29" s="8">
        <f t="shared" si="0"/>
        <v>0.20521444827318192</v>
      </c>
    </row>
    <row r="30" spans="1:5" x14ac:dyDescent="0.2">
      <c r="A30" t="s">
        <v>56</v>
      </c>
      <c r="B30" s="1" t="s">
        <v>57</v>
      </c>
      <c r="C30" s="5">
        <v>0.14531567692756653</v>
      </c>
      <c r="D30" s="5">
        <v>0.20017501711845398</v>
      </c>
      <c r="E30" s="5">
        <f t="shared" si="0"/>
        <v>0.17274534702301025</v>
      </c>
    </row>
    <row r="31" spans="1:5" x14ac:dyDescent="0.2">
      <c r="A31" t="s">
        <v>58</v>
      </c>
      <c r="B31" s="1" t="s">
        <v>59</v>
      </c>
      <c r="C31" s="5">
        <v>0.15278548002243042</v>
      </c>
      <c r="D31" s="5">
        <v>0.17964707314968109</v>
      </c>
      <c r="E31" s="5">
        <f t="shared" si="0"/>
        <v>0.16621627658605576</v>
      </c>
    </row>
    <row r="32" spans="1:5" x14ac:dyDescent="0.2">
      <c r="A32" t="s">
        <v>60</v>
      </c>
      <c r="B32" s="1" t="s">
        <v>61</v>
      </c>
      <c r="C32" s="5">
        <v>0.15601010620594025</v>
      </c>
      <c r="D32" s="5">
        <v>0.1801687628030777</v>
      </c>
      <c r="E32" s="5">
        <f t="shared" si="0"/>
        <v>0.16808943450450897</v>
      </c>
    </row>
    <row r="33" spans="1:5" x14ac:dyDescent="0.2">
      <c r="A33" t="s">
        <v>62</v>
      </c>
      <c r="B33" s="1" t="s">
        <v>63</v>
      </c>
      <c r="C33" s="5">
        <v>0.16908891499042511</v>
      </c>
      <c r="D33" s="5">
        <v>0.21060940623283386</v>
      </c>
      <c r="E33" s="5">
        <f t="shared" si="0"/>
        <v>0.18984916061162949</v>
      </c>
    </row>
    <row r="34" spans="1:5" x14ac:dyDescent="0.2">
      <c r="A34" t="s">
        <v>64</v>
      </c>
      <c r="B34" s="1" t="s">
        <v>65</v>
      </c>
      <c r="C34" s="5">
        <v>0.16544383764266968</v>
      </c>
      <c r="D34" s="5">
        <v>0.1742638498544693</v>
      </c>
      <c r="E34" s="5">
        <f t="shared" si="0"/>
        <v>0.16985384374856949</v>
      </c>
    </row>
    <row r="35" spans="1:5" x14ac:dyDescent="0.2">
      <c r="A35" t="s">
        <v>66</v>
      </c>
      <c r="B35" s="1" t="s">
        <v>67</v>
      </c>
      <c r="C35" s="5">
        <v>0.17881962656974792</v>
      </c>
      <c r="D35" s="5">
        <v>0.1827620267868042</v>
      </c>
      <c r="E35" s="5">
        <f t="shared" si="0"/>
        <v>0.18079082667827606</v>
      </c>
    </row>
    <row r="36" spans="1:5" x14ac:dyDescent="0.2">
      <c r="A36" s="6" t="s">
        <v>68</v>
      </c>
      <c r="B36" s="7" t="s">
        <v>69</v>
      </c>
      <c r="C36" s="8">
        <v>0.27508574724197388</v>
      </c>
      <c r="D36" s="8">
        <v>0.1067684069275856</v>
      </c>
      <c r="E36" s="8">
        <f t="shared" si="0"/>
        <v>0.19092707708477974</v>
      </c>
    </row>
    <row r="37" spans="1:5" x14ac:dyDescent="0.2">
      <c r="A37" t="s">
        <v>70</v>
      </c>
      <c r="B37" s="1" t="s">
        <v>71</v>
      </c>
      <c r="C37" s="5">
        <v>0.14605672657489777</v>
      </c>
      <c r="D37" s="5">
        <v>0.16982245445251465</v>
      </c>
      <c r="E37" s="5">
        <f t="shared" si="0"/>
        <v>0.15793959051370621</v>
      </c>
    </row>
    <row r="39" spans="1:5" ht="48" x14ac:dyDescent="0.2">
      <c r="E39" s="10" t="s">
        <v>79</v>
      </c>
    </row>
  </sheetData>
  <autoFilter ref="A1:E1" xr:uid="{56B39E03-DCE8-4D46-8638-0306B4364DDC}">
    <sortState ref="A2:E37">
      <sortCondition ref="A1"/>
    </sortState>
  </autoFilter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F7A46-2AB7-4C60-AB80-6663086296D4}">
  <dimension ref="A1:G39"/>
  <sheetViews>
    <sheetView workbookViewId="0">
      <selection activeCell="E2" sqref="E2"/>
    </sheetView>
  </sheetViews>
  <sheetFormatPr baseColWidth="10" defaultColWidth="8.83203125" defaultRowHeight="15" x14ac:dyDescent="0.2"/>
  <cols>
    <col min="1" max="1" width="21" customWidth="1"/>
    <col min="2" max="2" width="21.33203125" style="1" customWidth="1"/>
    <col min="3" max="3" width="27.33203125" customWidth="1"/>
    <col min="4" max="4" width="14.33203125" customWidth="1"/>
    <col min="5" max="5" width="21.1640625" customWidth="1"/>
    <col min="6" max="6" width="13.83203125" customWidth="1"/>
    <col min="7" max="7" width="20.5" customWidth="1"/>
  </cols>
  <sheetData>
    <row r="1" spans="1:7" ht="144" x14ac:dyDescent="0.2">
      <c r="A1" s="2" t="s">
        <v>73</v>
      </c>
      <c r="B1" s="2" t="s">
        <v>72</v>
      </c>
      <c r="C1" s="3" t="s">
        <v>87</v>
      </c>
      <c r="D1" s="3" t="s">
        <v>74</v>
      </c>
      <c r="E1" s="3" t="s">
        <v>86</v>
      </c>
      <c r="F1" s="3" t="s">
        <v>75</v>
      </c>
      <c r="G1" s="4" t="s">
        <v>84</v>
      </c>
    </row>
    <row r="2" spans="1:7" s="11" customFormat="1" x14ac:dyDescent="0.2">
      <c r="A2" t="s">
        <v>0</v>
      </c>
      <c r="B2" s="1" t="s">
        <v>1</v>
      </c>
      <c r="C2" s="5">
        <v>0.25301101803779602</v>
      </c>
      <c r="D2" s="13">
        <v>1883.20263671875</v>
      </c>
      <c r="E2" s="5">
        <v>0.26003891229629517</v>
      </c>
      <c r="F2" s="13">
        <v>1883.62353515625</v>
      </c>
      <c r="G2" s="5">
        <f t="shared" ref="G2:G37" si="0">AVERAGE(C2,E2)</f>
        <v>0.25652496516704559</v>
      </c>
    </row>
    <row r="3" spans="1:7" s="11" customFormat="1" x14ac:dyDescent="0.2">
      <c r="A3" t="s">
        <v>2</v>
      </c>
      <c r="B3" s="1" t="s">
        <v>3</v>
      </c>
      <c r="C3" s="5">
        <v>0.25453826785087585</v>
      </c>
      <c r="D3" s="13">
        <v>12080.896484375</v>
      </c>
      <c r="E3" s="5">
        <v>0.25079619884490967</v>
      </c>
      <c r="F3" s="13">
        <v>12038.1796875</v>
      </c>
      <c r="G3" s="5">
        <f t="shared" si="0"/>
        <v>0.25266723334789276</v>
      </c>
    </row>
    <row r="4" spans="1:7" s="11" customFormat="1" x14ac:dyDescent="0.2">
      <c r="A4" t="s">
        <v>4</v>
      </c>
      <c r="B4" s="1" t="s">
        <v>5</v>
      </c>
      <c r="C4" s="5">
        <v>0.26011106371879578</v>
      </c>
      <c r="D4" s="13">
        <v>61673.28515625</v>
      </c>
      <c r="E4" s="5">
        <v>0.26216083765029907</v>
      </c>
      <c r="F4" s="13">
        <v>61216.203125</v>
      </c>
      <c r="G4" s="5">
        <f t="shared" si="0"/>
        <v>0.26113595068454742</v>
      </c>
    </row>
    <row r="5" spans="1:7" x14ac:dyDescent="0.2">
      <c r="A5" t="s">
        <v>6</v>
      </c>
      <c r="B5" s="1" t="s">
        <v>7</v>
      </c>
      <c r="C5" s="5">
        <v>0.23481601476669312</v>
      </c>
      <c r="D5" s="13">
        <v>4394.1630859375</v>
      </c>
      <c r="E5" s="5">
        <v>0.23810860514640808</v>
      </c>
      <c r="F5" s="13">
        <v>4160.982421875</v>
      </c>
      <c r="G5" s="5">
        <f t="shared" si="0"/>
        <v>0.2364623099565506</v>
      </c>
    </row>
    <row r="6" spans="1:7" x14ac:dyDescent="0.2">
      <c r="A6" t="s">
        <v>8</v>
      </c>
      <c r="B6" s="1" t="s">
        <v>9</v>
      </c>
      <c r="C6" s="5">
        <v>0.22754468023777008</v>
      </c>
      <c r="D6" s="13">
        <v>7910.193359375</v>
      </c>
      <c r="E6" s="5">
        <v>0.24429130554199219</v>
      </c>
      <c r="F6" s="13">
        <v>7592.65380859375</v>
      </c>
      <c r="G6" s="5">
        <f t="shared" si="0"/>
        <v>0.23591799288988113</v>
      </c>
    </row>
    <row r="7" spans="1:7" x14ac:dyDescent="0.2">
      <c r="A7" t="s">
        <v>10</v>
      </c>
      <c r="B7" s="1" t="s">
        <v>11</v>
      </c>
      <c r="C7" s="5">
        <v>0.22735404968261719</v>
      </c>
      <c r="D7" s="13">
        <v>6577.37255859375</v>
      </c>
      <c r="E7" s="5">
        <v>0.2389940470457077</v>
      </c>
      <c r="F7" s="13">
        <v>5950.00048828125</v>
      </c>
      <c r="G7" s="5">
        <f t="shared" si="0"/>
        <v>0.23317404836416245</v>
      </c>
    </row>
    <row r="8" spans="1:7" x14ac:dyDescent="0.2">
      <c r="A8" t="s">
        <v>12</v>
      </c>
      <c r="B8" s="1" t="s">
        <v>13</v>
      </c>
      <c r="C8" s="5">
        <v>0.21328456699848175</v>
      </c>
      <c r="D8" s="13">
        <v>2651.23974609375</v>
      </c>
      <c r="E8" s="5">
        <v>0.2359544038772583</v>
      </c>
      <c r="F8" s="13">
        <v>2417.27197265625</v>
      </c>
      <c r="G8" s="5">
        <f t="shared" si="0"/>
        <v>0.22461948543787003</v>
      </c>
    </row>
    <row r="9" spans="1:7" x14ac:dyDescent="0.2">
      <c r="A9" t="s">
        <v>14</v>
      </c>
      <c r="B9" s="1" t="s">
        <v>15</v>
      </c>
      <c r="C9" s="5">
        <v>0.22936609387397766</v>
      </c>
      <c r="D9" s="13">
        <v>2024.844482421875</v>
      </c>
      <c r="E9" s="5">
        <v>0.23670612275600433</v>
      </c>
      <c r="F9" s="13">
        <v>1826.70361328125</v>
      </c>
      <c r="G9" s="5">
        <f t="shared" si="0"/>
        <v>0.233036108314991</v>
      </c>
    </row>
    <row r="10" spans="1:7" x14ac:dyDescent="0.2">
      <c r="A10" t="s">
        <v>16</v>
      </c>
      <c r="B10" s="1" t="s">
        <v>17</v>
      </c>
      <c r="C10" s="5">
        <v>0.23098313808441162</v>
      </c>
      <c r="D10" s="13">
        <v>16393.80078125</v>
      </c>
      <c r="E10" s="5">
        <v>0.23471507430076599</v>
      </c>
      <c r="F10" s="13">
        <v>16078.107421875</v>
      </c>
      <c r="G10" s="5">
        <f t="shared" si="0"/>
        <v>0.23284910619258881</v>
      </c>
    </row>
    <row r="11" spans="1:7" x14ac:dyDescent="0.2">
      <c r="A11" t="s">
        <v>18</v>
      </c>
      <c r="B11" s="1" t="s">
        <v>19</v>
      </c>
      <c r="C11" s="5">
        <v>0.23438280820846558</v>
      </c>
      <c r="D11" s="13">
        <v>11740.9794921875</v>
      </c>
      <c r="E11" s="5">
        <v>0.23889158666133881</v>
      </c>
      <c r="F11" s="13">
        <v>11302.3447265625</v>
      </c>
      <c r="G11" s="5">
        <f t="shared" si="0"/>
        <v>0.23663719743490219</v>
      </c>
    </row>
    <row r="12" spans="1:7" x14ac:dyDescent="0.2">
      <c r="A12" s="6" t="s">
        <v>20</v>
      </c>
      <c r="B12" s="7" t="s">
        <v>21</v>
      </c>
      <c r="C12" s="8">
        <v>0.38505074381828308</v>
      </c>
      <c r="D12" s="14">
        <v>278.1090087890625</v>
      </c>
      <c r="E12" s="8">
        <v>0.32309818267822266</v>
      </c>
      <c r="F12" s="14">
        <v>236.20185852050781</v>
      </c>
      <c r="G12" s="8">
        <f t="shared" si="0"/>
        <v>0.35407446324825287</v>
      </c>
    </row>
    <row r="13" spans="1:7" x14ac:dyDescent="0.2">
      <c r="A13" t="s">
        <v>22</v>
      </c>
      <c r="B13" s="1" t="s">
        <v>23</v>
      </c>
      <c r="C13" s="5">
        <v>0.23784454166889191</v>
      </c>
      <c r="D13" s="13">
        <v>1064.0478515625</v>
      </c>
      <c r="E13" s="5">
        <v>0.28055623173713684</v>
      </c>
      <c r="F13" s="13">
        <v>1006.826171875</v>
      </c>
      <c r="G13" s="5">
        <f t="shared" si="0"/>
        <v>0.25920038670301437</v>
      </c>
    </row>
    <row r="14" spans="1:7" x14ac:dyDescent="0.2">
      <c r="A14" t="s">
        <v>24</v>
      </c>
      <c r="B14" s="1" t="s">
        <v>25</v>
      </c>
      <c r="C14" s="5">
        <v>0.27746406197547913</v>
      </c>
      <c r="D14" s="13">
        <v>815.8487548828125</v>
      </c>
      <c r="E14" s="5">
        <v>0.24847933650016785</v>
      </c>
      <c r="F14" s="13">
        <v>835.6756591796875</v>
      </c>
      <c r="G14" s="5">
        <f t="shared" si="0"/>
        <v>0.26297169923782349</v>
      </c>
    </row>
    <row r="15" spans="1:7" x14ac:dyDescent="0.2">
      <c r="A15" t="s">
        <v>26</v>
      </c>
      <c r="B15" s="1" t="s">
        <v>27</v>
      </c>
      <c r="C15" s="5">
        <v>0.23831316828727722</v>
      </c>
      <c r="D15" s="13">
        <v>2604.66259765625</v>
      </c>
      <c r="E15" s="5">
        <v>0.2365887463092804</v>
      </c>
      <c r="F15" s="13">
        <v>2690.094970703125</v>
      </c>
      <c r="G15" s="5">
        <f t="shared" si="0"/>
        <v>0.23745095729827881</v>
      </c>
    </row>
    <row r="16" spans="1:7" x14ac:dyDescent="0.2">
      <c r="A16" t="s">
        <v>28</v>
      </c>
      <c r="B16" s="1" t="s">
        <v>29</v>
      </c>
      <c r="C16" s="5">
        <v>0.22910113632678986</v>
      </c>
      <c r="D16" s="13">
        <v>22319.6640625</v>
      </c>
      <c r="E16" s="5">
        <v>0.23016752302646637</v>
      </c>
      <c r="F16" s="13">
        <v>21297.9765625</v>
      </c>
      <c r="G16" s="5">
        <f t="shared" si="0"/>
        <v>0.22963432967662811</v>
      </c>
    </row>
    <row r="17" spans="1:7" x14ac:dyDescent="0.2">
      <c r="A17" t="s">
        <v>30</v>
      </c>
      <c r="B17" s="1" t="s">
        <v>31</v>
      </c>
      <c r="C17" s="5">
        <v>0.20512300729751587</v>
      </c>
      <c r="D17" s="13">
        <v>2581.861083984375</v>
      </c>
      <c r="E17" s="5">
        <v>0.21808522939682007</v>
      </c>
      <c r="F17" s="13">
        <v>2442.811279296875</v>
      </c>
      <c r="G17" s="5">
        <f t="shared" si="0"/>
        <v>0.21160411834716797</v>
      </c>
    </row>
    <row r="18" spans="1:7" x14ac:dyDescent="0.2">
      <c r="A18" t="s">
        <v>32</v>
      </c>
      <c r="B18" s="1" t="s">
        <v>33</v>
      </c>
      <c r="C18" s="5">
        <v>0.24010267853736877</v>
      </c>
      <c r="D18" s="13">
        <v>6953.6171875</v>
      </c>
      <c r="E18" s="5">
        <v>0.23560559749603271</v>
      </c>
      <c r="F18" s="13">
        <v>6957.6455078125</v>
      </c>
      <c r="G18" s="5">
        <f t="shared" si="0"/>
        <v>0.23785413801670074</v>
      </c>
    </row>
    <row r="19" spans="1:7" x14ac:dyDescent="0.2">
      <c r="A19" t="s">
        <v>34</v>
      </c>
      <c r="B19" s="1" t="s">
        <v>35</v>
      </c>
      <c r="C19" s="5">
        <v>0.27132496237754822</v>
      </c>
      <c r="D19" s="13">
        <v>8226.2978515625</v>
      </c>
      <c r="E19" s="5">
        <v>0.27195888757705688</v>
      </c>
      <c r="F19" s="13">
        <v>7292.810546875</v>
      </c>
      <c r="G19" s="5">
        <f t="shared" si="0"/>
        <v>0.27164192497730255</v>
      </c>
    </row>
    <row r="20" spans="1:7" x14ac:dyDescent="0.2">
      <c r="A20" t="s">
        <v>36</v>
      </c>
      <c r="B20" s="1" t="s">
        <v>37</v>
      </c>
      <c r="C20" s="5">
        <v>0.29578578472137451</v>
      </c>
      <c r="D20" s="13">
        <v>827.20269775390625</v>
      </c>
      <c r="E20" s="5">
        <v>0.30588370561599731</v>
      </c>
      <c r="F20" s="13">
        <v>762.1160888671875</v>
      </c>
      <c r="G20" s="5">
        <f t="shared" si="0"/>
        <v>0.30083474516868591</v>
      </c>
    </row>
    <row r="21" spans="1:7" x14ac:dyDescent="0.2">
      <c r="A21" t="s">
        <v>38</v>
      </c>
      <c r="B21" s="1" t="s">
        <v>39</v>
      </c>
      <c r="C21" s="5">
        <v>0.23924225568771362</v>
      </c>
      <c r="D21" s="13">
        <v>42361.40625</v>
      </c>
      <c r="E21" s="5">
        <v>0.2401454746723175</v>
      </c>
      <c r="F21" s="13">
        <v>40738.625</v>
      </c>
      <c r="G21" s="5">
        <f t="shared" si="0"/>
        <v>0.23969386518001556</v>
      </c>
    </row>
    <row r="22" spans="1:7" x14ac:dyDescent="0.2">
      <c r="A22" t="s">
        <v>40</v>
      </c>
      <c r="B22" s="1" t="s">
        <v>41</v>
      </c>
      <c r="C22" s="5">
        <v>0.23269893229007721</v>
      </c>
      <c r="D22" s="13">
        <v>4584.49462890625</v>
      </c>
      <c r="E22" s="5">
        <v>0.2369796484708786</v>
      </c>
      <c r="F22" s="13">
        <v>4157.22119140625</v>
      </c>
      <c r="G22" s="5">
        <f t="shared" si="0"/>
        <v>0.23483929038047791</v>
      </c>
    </row>
    <row r="23" spans="1:7" x14ac:dyDescent="0.2">
      <c r="A23" t="s">
        <v>42</v>
      </c>
      <c r="B23" s="1" t="s">
        <v>43</v>
      </c>
      <c r="C23" s="5">
        <v>0.23569321632385254</v>
      </c>
      <c r="D23" s="13">
        <v>14696.341796875</v>
      </c>
      <c r="E23" s="5">
        <v>0.25119823217391968</v>
      </c>
      <c r="F23" s="13">
        <v>14320.869140625</v>
      </c>
      <c r="G23" s="5">
        <f t="shared" si="0"/>
        <v>0.24344572424888611</v>
      </c>
    </row>
    <row r="24" spans="1:7" x14ac:dyDescent="0.2">
      <c r="A24" t="s">
        <v>44</v>
      </c>
      <c r="B24" s="1" t="s">
        <v>45</v>
      </c>
      <c r="C24" s="5">
        <v>0.22298091650009155</v>
      </c>
      <c r="D24" s="13">
        <v>3528.625</v>
      </c>
      <c r="E24" s="5">
        <v>0.25220769643783569</v>
      </c>
      <c r="F24" s="13">
        <v>3325.22119140625</v>
      </c>
      <c r="G24" s="5">
        <f t="shared" si="0"/>
        <v>0.23759430646896362</v>
      </c>
    </row>
    <row r="25" spans="1:7" x14ac:dyDescent="0.2">
      <c r="A25" t="s">
        <v>46</v>
      </c>
      <c r="B25" s="1" t="s">
        <v>47</v>
      </c>
      <c r="C25" s="5">
        <v>0.23880520462989807</v>
      </c>
      <c r="D25" s="13">
        <v>42611.35546875</v>
      </c>
      <c r="E25" s="5">
        <v>0.25020650029182434</v>
      </c>
      <c r="F25" s="13">
        <v>39230.52734375</v>
      </c>
      <c r="G25" s="5">
        <f t="shared" si="0"/>
        <v>0.24450585246086121</v>
      </c>
    </row>
    <row r="26" spans="1:7" x14ac:dyDescent="0.2">
      <c r="A26" t="s">
        <v>48</v>
      </c>
      <c r="B26" s="1" t="s">
        <v>49</v>
      </c>
      <c r="C26" s="5">
        <v>0.2699572741985321</v>
      </c>
      <c r="D26" s="13">
        <v>1611.52490234375</v>
      </c>
      <c r="E26" s="5">
        <v>0.29447683691978455</v>
      </c>
      <c r="F26" s="13">
        <v>1535.820556640625</v>
      </c>
      <c r="G26" s="5">
        <f t="shared" si="0"/>
        <v>0.28221705555915833</v>
      </c>
    </row>
    <row r="27" spans="1:7" x14ac:dyDescent="0.2">
      <c r="A27" t="s">
        <v>50</v>
      </c>
      <c r="B27" s="1" t="s">
        <v>51</v>
      </c>
      <c r="C27" s="5">
        <v>0.23806853592395782</v>
      </c>
      <c r="D27" s="13">
        <v>82639.5859375</v>
      </c>
      <c r="E27" s="5">
        <v>0.23264820873737335</v>
      </c>
      <c r="F27" s="13">
        <v>80472.5546875</v>
      </c>
      <c r="G27" s="5">
        <f t="shared" si="0"/>
        <v>0.23535837233066559</v>
      </c>
    </row>
    <row r="28" spans="1:7" x14ac:dyDescent="0.2">
      <c r="A28" t="s">
        <v>52</v>
      </c>
      <c r="B28" s="1" t="s">
        <v>53</v>
      </c>
      <c r="C28" s="5">
        <v>0.22938892245292664</v>
      </c>
      <c r="D28" s="13">
        <v>9581.0283203125</v>
      </c>
      <c r="E28" s="5">
        <v>0.24108891189098358</v>
      </c>
      <c r="F28" s="13">
        <v>9166.3896484375</v>
      </c>
      <c r="G28" s="5">
        <f t="shared" si="0"/>
        <v>0.23523891717195511</v>
      </c>
    </row>
    <row r="29" spans="1:7" x14ac:dyDescent="0.2">
      <c r="A29" s="6" t="s">
        <v>54</v>
      </c>
      <c r="B29" s="7" t="s">
        <v>55</v>
      </c>
      <c r="C29" s="8">
        <v>0.29936838150024414</v>
      </c>
      <c r="D29" s="14">
        <v>291.49383544921875</v>
      </c>
      <c r="E29" s="8">
        <v>0.30710548162460327</v>
      </c>
      <c r="F29" s="14">
        <v>288.8182373046875</v>
      </c>
      <c r="G29" s="8">
        <f t="shared" si="0"/>
        <v>0.30323693156242371</v>
      </c>
    </row>
    <row r="30" spans="1:7" x14ac:dyDescent="0.2">
      <c r="A30" t="s">
        <v>56</v>
      </c>
      <c r="B30" s="1" t="s">
        <v>57</v>
      </c>
      <c r="C30" s="5">
        <v>0.22298631072044373</v>
      </c>
      <c r="D30" s="13">
        <v>2689.614501953125</v>
      </c>
      <c r="E30" s="5">
        <v>0.25773656368255615</v>
      </c>
      <c r="F30" s="13">
        <v>2551.518310546875</v>
      </c>
      <c r="G30" s="5">
        <f t="shared" si="0"/>
        <v>0.24036143720149994</v>
      </c>
    </row>
    <row r="31" spans="1:7" x14ac:dyDescent="0.2">
      <c r="A31" t="s">
        <v>58</v>
      </c>
      <c r="B31" s="1" t="s">
        <v>59</v>
      </c>
      <c r="C31" s="5">
        <v>0.2441096305847168</v>
      </c>
      <c r="D31" s="13">
        <v>10343.2607421875</v>
      </c>
      <c r="E31" s="5">
        <v>0.25670093297958374</v>
      </c>
      <c r="F31" s="13">
        <v>9506.5400390625</v>
      </c>
      <c r="G31" s="5">
        <f t="shared" si="0"/>
        <v>0.25040528178215027</v>
      </c>
    </row>
    <row r="32" spans="1:7" x14ac:dyDescent="0.2">
      <c r="A32" t="s">
        <v>60</v>
      </c>
      <c r="B32" s="1" t="s">
        <v>61</v>
      </c>
      <c r="C32" s="5">
        <v>0.21798691153526306</v>
      </c>
      <c r="D32" s="13">
        <v>3533.207763671875</v>
      </c>
      <c r="E32" s="5">
        <v>0.23769032955169678</v>
      </c>
      <c r="F32" s="13">
        <v>3493.715087890625</v>
      </c>
      <c r="G32" s="5">
        <f t="shared" si="0"/>
        <v>0.22783862054347992</v>
      </c>
    </row>
    <row r="33" spans="1:7" x14ac:dyDescent="0.2">
      <c r="A33" t="s">
        <v>62</v>
      </c>
      <c r="B33" s="1" t="s">
        <v>63</v>
      </c>
      <c r="C33" s="5">
        <v>0.23386193811893463</v>
      </c>
      <c r="D33" s="13">
        <v>766.46148681640625</v>
      </c>
      <c r="E33" s="5">
        <v>0.26132708787918091</v>
      </c>
      <c r="F33" s="13">
        <v>888.13470458984375</v>
      </c>
      <c r="G33" s="5">
        <f t="shared" si="0"/>
        <v>0.24759451299905777</v>
      </c>
    </row>
    <row r="34" spans="1:7" x14ac:dyDescent="0.2">
      <c r="A34" t="s">
        <v>64</v>
      </c>
      <c r="B34" s="1" t="s">
        <v>65</v>
      </c>
      <c r="C34" s="5">
        <v>0.24229399859905243</v>
      </c>
      <c r="D34" s="13">
        <v>3113.568359375</v>
      </c>
      <c r="E34" s="5">
        <v>0.24224984645843506</v>
      </c>
      <c r="F34" s="13">
        <v>2838.23486328125</v>
      </c>
      <c r="G34" s="5">
        <f t="shared" si="0"/>
        <v>0.24227192252874374</v>
      </c>
    </row>
    <row r="35" spans="1:7" x14ac:dyDescent="0.2">
      <c r="A35" t="s">
        <v>66</v>
      </c>
      <c r="B35" s="1" t="s">
        <v>67</v>
      </c>
      <c r="C35" s="5">
        <v>0.2581145167350769</v>
      </c>
      <c r="D35" s="13">
        <v>83110.34375</v>
      </c>
      <c r="E35" s="5">
        <v>0.2575322687625885</v>
      </c>
      <c r="F35" s="13">
        <v>81630.125</v>
      </c>
      <c r="G35" s="5">
        <f t="shared" si="0"/>
        <v>0.2578233927488327</v>
      </c>
    </row>
    <row r="36" spans="1:7" x14ac:dyDescent="0.2">
      <c r="A36" s="6" t="s">
        <v>68</v>
      </c>
      <c r="B36" s="7" t="s">
        <v>69</v>
      </c>
      <c r="C36" s="8">
        <v>0.44842809438705444</v>
      </c>
      <c r="D36" s="14">
        <v>98.08392333984375</v>
      </c>
      <c r="E36" s="8">
        <v>0.28938239812850952</v>
      </c>
      <c r="F36" s="14">
        <v>119.16032409667969</v>
      </c>
      <c r="G36" s="8">
        <f t="shared" si="0"/>
        <v>0.36890524625778198</v>
      </c>
    </row>
    <row r="37" spans="1:7" x14ac:dyDescent="0.2">
      <c r="A37" t="s">
        <v>70</v>
      </c>
      <c r="B37" s="1" t="s">
        <v>71</v>
      </c>
      <c r="C37" s="5">
        <v>0.22603565454483032</v>
      </c>
      <c r="D37" s="13">
        <v>13550.0830078125</v>
      </c>
      <c r="E37" s="5">
        <v>0.23404775559902191</v>
      </c>
      <c r="F37" s="13">
        <v>13464.828125</v>
      </c>
      <c r="G37" s="5">
        <f t="shared" si="0"/>
        <v>0.23004170507192612</v>
      </c>
    </row>
    <row r="39" spans="1:7" ht="48" x14ac:dyDescent="0.2">
      <c r="G39" s="10" t="s">
        <v>79</v>
      </c>
    </row>
  </sheetData>
  <autoFilter ref="A1:G1" xr:uid="{56B39E03-DCE8-4D46-8638-0306B4364DDC}">
    <sortState ref="A2:G37">
      <sortCondition ref="B1"/>
    </sortState>
  </autoFilter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Output</vt:lpstr>
      <vt:lpstr>raw data_p25</vt:lpstr>
      <vt:lpstr>raw data_p50</vt:lpstr>
      <vt:lpstr>raw data_p75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Devlin-Foltz, Sebi</dc:creator>
  <cp:lastModifiedBy>David Keyes</cp:lastModifiedBy>
  <dcterms:created xsi:type="dcterms:W3CDTF">2019-10-21T17:22:12Z</dcterms:created>
  <dcterms:modified xsi:type="dcterms:W3CDTF">2020-03-03T22:11:52Z</dcterms:modified>
</cp:coreProperties>
</file>